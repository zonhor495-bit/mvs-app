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0"/>
  <sheetViews>
    <sheetView workbookViewId="0"/>
  </sheetViews>
  <cols>
    <col min="1" max="1" width="5.83203125" customWidth="1"/>
    <col min="2" max="2" width="5.83203125" customWidth="1"/>
    <col min="3" max="3" width="30.83203125" customWidth="1"/>
    <col min="4" max="4" width="12.83203125" customWidth="1"/>
    <col min="5" max="5" width="15.83203125" customWidth="1"/>
    <col min="6" max="6" width="20.83203125" customWidth="1"/>
    <col min="7" max="7" width="5.83203125" customWidth="1"/>
    <col min="8" max="8" width="15.83203125" customWidth="1"/>
    <col min="9" max="9" width="15.83203125" customWidth="1"/>
  </cols>
  <sheetData>
    <row r="1">
      <c r="B1" t="str">
        <v>Отчёт по заказам</v>
      </c>
    </row>
    <row r="2">
      <c r="B2" t="str">
        <v>Компания:</v>
      </c>
      <c r="C2" t="str">
        <v>Wash&amp;Drive</v>
      </c>
    </row>
    <row r="3">
      <c r="B3" t="str">
        <v>Период:</v>
      </c>
      <c r="C3" t="str">
        <v/>
      </c>
    </row>
    <row r="4">
      <c r="B4" t="str">
        <v>№</v>
      </c>
      <c r="C4" t="str">
        <v>Услуга</v>
      </c>
      <c r="D4" t="str">
        <v>Сумма</v>
      </c>
      <c r="E4" t="str">
        <v>Оплата</v>
      </c>
      <c r="F4" t="str">
        <v>Исполнитель</v>
      </c>
    </row>
    <row r="5">
      <c r="H5" t="str">
        <v>Напитки</v>
      </c>
    </row>
    <row r="6">
      <c r="H6" t="str">
        <v>KASPI</v>
      </c>
      <c r="I6">
        <f>SUMIF(E5:E500, "Kaspi", D5:D500)</f>
      </c>
    </row>
    <row r="7">
      <c r="H7" t="str">
        <v>НАЛИЧНЫЕ</v>
      </c>
      <c r="I7">
        <f>SUMIF(E5:E500, "Наличные", D5:D500)</f>
      </c>
    </row>
    <row r="8">
      <c r="H8" t="str">
        <v>ЗП</v>
      </c>
    </row>
    <row r="9">
      <c r="H9" t="str">
        <v>сотрудники</v>
      </c>
    </row>
    <row r="10">
      <c r="H10" t="str">
        <v>РАСХОДЫ</v>
      </c>
    </row>
    <row r="11">
      <c r="H11" t="str">
        <v>ОСТАТОК</v>
      </c>
      <c r="I11">
        <f>SUM(D5:D500)-SUM(I6:I10)</f>
      </c>
    </row>
  </sheetData>
  <mergeCells count="2">
    <mergeCell ref="B1:F1"/>
    <mergeCell ref="B5:F5"/>
  </mergeCells>
  <ignoredErrors>
    <ignoredError numberStoredAsText="1" sqref="A1:I5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